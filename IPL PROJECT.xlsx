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24C9CA-D0EA-4C12-BD62-3B57143CA2A2}" xr6:coauthVersionLast="47" xr6:coauthVersionMax="47" xr10:uidLastSave="{00000000-0000-0000-0000-000000000000}"/>
  <bookViews>
    <workbookView xWindow="-120" yWindow="-120" windowWidth="20730" windowHeight="11160" firstSheet="2" activeTab="5" xr2:uid="{D720E031-56A3-4A3E-B812-B2DFAEAD7825}"/>
  </bookViews>
  <sheets>
    <sheet name="Matches per Venue" sheetId="2" r:id="rId1"/>
    <sheet name="Wins per Team" sheetId="4" r:id="rId2"/>
    <sheet name="Avg Runs per Venue" sheetId="7" r:id="rId3"/>
    <sheet name="Toss Decision" sheetId="6" r:id="rId4"/>
    <sheet name="Sheet1" sheetId="1" r:id="rId5"/>
    <sheet name="DASHBOARD" sheetId="8" r:id="rId6"/>
  </sheet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<sst xmlns="http://schemas.openxmlformats.org/spreadsheetml/2006/main" count="101" uniqueCount="29">
  <si>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>Match_ID</t>
  </si>
  <si>
    <t>Date</t>
  </si>
  <si>
    <t>Venue</t>
  </si>
  <si>
    <t>Team_1</t>
  </si>
  <si>
    <t>Team_2</t>
  </si>
  <si>
    <t>Toss_Winner</t>
  </si>
  <si>
    <t>Toss_Decision</t>
  </si>
  <si>
    <t>Winner</t>
  </si>
  <si>
    <t>Runs_Scored</t>
  </si>
  <si>
    <t>Wickets_Lost</t>
  </si>
  <si>
    <t xml:space="preserve"> Wankhede</t>
  </si>
  <si>
    <t>Chinnaswamy</t>
  </si>
  <si>
    <t>Eden Gardens</t>
  </si>
  <si>
    <t>Chepauk</t>
  </si>
  <si>
    <t>Wankhede</t>
  </si>
  <si>
    <t>MI</t>
  </si>
  <si>
    <t>RCB</t>
  </si>
  <si>
    <t>KKR</t>
  </si>
  <si>
    <t>CSK</t>
  </si>
  <si>
    <t>SRH</t>
  </si>
  <si>
    <t>DC</t>
  </si>
  <si>
    <t>Bat</t>
  </si>
  <si>
    <t>Field</t>
  </si>
  <si>
    <t>Row Labels</t>
  </si>
  <si>
    <t>Grand Total</t>
  </si>
  <si>
    <t>Count of Winner</t>
  </si>
  <si>
    <t>Average of Runs_Scored</t>
  </si>
  <si>
    <t>Count of Match_ID</t>
  </si>
  <si>
    <t>IPL MATCH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</si>
</sst>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PROJECT.xlsx]Matches per Venue!PivotTable1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per 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'Matches per 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'Matches per Venue'!$A$4:$A$9</c:f>
              <c:strCache>
                <c:ptCount val="5"/>
                <c:pt idx="0">
                  <c:v> Wankhede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Wankhede</c:v>
                </c:pt>
              </c:strCache>
            </c:strRef>
          </c:cat>
          <c:val>
            <c:numRef>
              <c:f>'Matches per Venue'!$B$4:$B$9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7-493A-B567-43BFCF9D9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1956255"/>
        <c:axId val="1201956735"/>
        <c:axId val="0"/>
      </c:bar3DChart>
      <c:catAx>
        <c:axId val="12019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56735"/>
        <c:crosses val="autoZero"/>
        <c:auto val="1"/>
        <c:lblAlgn val="ctr"/>
        <c:lblOffset val="100"/>
        <c:noMultiLvlLbl val="0"/>
      </c:catAx>
      <c:valAx>
        <c:axId val="120195673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PROJECT.xlsx]Wins per Team!PivotTable2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Matches won by each Team</a:t>
            </a:r>
          </a:p>
        </c:rich>
      </c:tx>
      <c:layout>
        <c:manualLayout>
          <c:xMode val="edge"/>
          <c:yMode val="edge"/>
          <c:x val="0.2008956692913385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'Wins per Team'!$B$3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'Wins per Team'!$A$4:$A$10</c:f>
              <c:strCache>
                <c:ptCount val="6"/>
                <c:pt idx="0">
                  <c:v>CSK</c:v>
                </c:pt>
                <c:pt idx="1">
                  <c:v>DC</c:v>
                </c:pt>
                <c:pt idx="2">
                  <c:v>KKR</c:v>
                </c:pt>
                <c:pt idx="3">
                  <c:v>MI</c:v>
                </c:pt>
                <c:pt idx="4">
                  <c:v>RCB</c:v>
                </c:pt>
                <c:pt idx="5">
                  <c:v>SRH</c:v>
                </c:pt>
              </c:strCache>
            </c:strRef>
          </c:cat>
          <c:val>
            <c:numRef>
              <c:f>'Wins per Team'!$B$4:$B$10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6-49BA-A87B-C5FEAC5A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602351"/>
        <c:axId val="1052602831"/>
        <c:axId val="0"/>
      </c:bar3DChart>
      <c:catAx>
        <c:axId val="10526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02831"/>
        <c:crosses val="autoZero"/>
        <c:auto val="1"/>
        <c:lblAlgn val="ctr"/>
        <c:lblOffset val="100"/>
        <c:noMultiLvlLbl val="0"/>
      </c:catAx>
      <c:valAx>
        <c:axId val="10526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0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PROJECT.xlsx]Avg Runs per Venue!PivotTable4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Runs Scored Per 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Runs per 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Runs per Venue'!$A$4:$A$9</c:f>
              <c:strCache>
                <c:ptCount val="5"/>
                <c:pt idx="0">
                  <c:v> Wankhede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Wankhede</c:v>
                </c:pt>
              </c:strCache>
            </c:strRef>
          </c:cat>
          <c:val>
            <c:numRef>
              <c:f>'Avg Runs per Venue'!$B$4:$B$9</c:f>
              <c:numCache>
                <c:formatCode>General</c:formatCode>
                <c:ptCount val="5"/>
                <c:pt idx="0">
                  <c:v>185</c:v>
                </c:pt>
                <c:pt idx="1">
                  <c:v>162.5</c:v>
                </c:pt>
                <c:pt idx="2">
                  <c:v>201</c:v>
                </c:pt>
                <c:pt idx="3">
                  <c:v>176.5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9-4852-A2BE-B09902275A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7883743"/>
        <c:axId val="1037884223"/>
      </c:barChart>
      <c:catAx>
        <c:axId val="10378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84223"/>
        <c:crosses val="autoZero"/>
        <c:auto val="1"/>
        <c:lblAlgn val="ctr"/>
        <c:lblOffset val="100"/>
        <c:noMultiLvlLbl val="0"/>
      </c:catAx>
      <c:valAx>
        <c:axId val="1037884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78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PROJECT.xlsx]Toss Decision!PivotTable3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'Toss Decision'!$B$3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'Toss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Decision'!$B$4:$B$6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8-4EB0-B4F2-8FDEB887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PROJECT.xlsx]Wins per Team!PivotTable2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Matches won by each Team</a:t>
            </a:r>
          </a:p>
        </c:rich>
      </c:tx>
      <c:layout>
        <c:manualLayout>
          <c:xMode val="edge"/>
          <c:yMode val="edge"/>
          <c:x val="0.15946438898527515"/>
          <c:y val="0.1350764360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'Wins per Team'!$B$3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'Wins per Team'!$A$4:$A$10</c:f>
              <c:strCache>
                <c:ptCount val="6"/>
                <c:pt idx="0">
                  <c:v>CSK</c:v>
                </c:pt>
                <c:pt idx="1">
                  <c:v>DC</c:v>
                </c:pt>
                <c:pt idx="2">
                  <c:v>KKR</c:v>
                </c:pt>
                <c:pt idx="3">
                  <c:v>MI</c:v>
                </c:pt>
                <c:pt idx="4">
                  <c:v>RCB</c:v>
                </c:pt>
                <c:pt idx="5">
                  <c:v>SRH</c:v>
                </c:pt>
              </c:strCache>
            </c:strRef>
          </c:cat>
          <c:val>
            <c:numRef>
              <c:f>'Wins per Team'!$B$4:$B$10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0-4BC0-B88B-2BCD99AF4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602351"/>
        <c:axId val="1052602831"/>
        <c:axId val="0"/>
      </c:bar3DChart>
      <c:catAx>
        <c:axId val="10526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02831"/>
        <c:crosses val="autoZero"/>
        <c:auto val="1"/>
        <c:lblAlgn val="ctr"/>
        <c:lblOffset val="100"/>
        <c:noMultiLvlLbl val="0"/>
      </c:catAx>
      <c:valAx>
        <c:axId val="10526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0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PROJECT.xlsx]Avg Runs per Venue!PivotTable4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Runs Scored Per Venue</a:t>
            </a:r>
          </a:p>
        </c:rich>
      </c:tx>
      <c:layout>
        <c:manualLayout>
          <c:xMode val="edge"/>
          <c:yMode val="edge"/>
          <c:x val="0.12939065442304479"/>
          <c:y val="0.12149086466807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Runs per 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Runs per Venue'!$A$4:$A$9</c:f>
              <c:strCache>
                <c:ptCount val="5"/>
                <c:pt idx="0">
                  <c:v> Wankhede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Wankhede</c:v>
                </c:pt>
              </c:strCache>
            </c:strRef>
          </c:cat>
          <c:val>
            <c:numRef>
              <c:f>'Avg Runs per Venue'!$B$4:$B$9</c:f>
              <c:numCache>
                <c:formatCode>General</c:formatCode>
                <c:ptCount val="5"/>
                <c:pt idx="0">
                  <c:v>185</c:v>
                </c:pt>
                <c:pt idx="1">
                  <c:v>162.5</c:v>
                </c:pt>
                <c:pt idx="2">
                  <c:v>201</c:v>
                </c:pt>
                <c:pt idx="3">
                  <c:v>176.5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6-439F-9C61-0067CA3EF7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7883743"/>
        <c:axId val="1037884223"/>
      </c:barChart>
      <c:catAx>
        <c:axId val="10378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84223"/>
        <c:crosses val="autoZero"/>
        <c:auto val="1"/>
        <c:lblAlgn val="ctr"/>
        <c:lblOffset val="100"/>
        <c:noMultiLvlLbl val="0"/>
      </c:catAx>
      <c:valAx>
        <c:axId val="1037884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78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PROJECT.xlsx]Toss Decision!PivotTable3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8068228805760879E-2"/>
          <c:y val="0.3787719459735297"/>
          <c:w val="0.37823835401260308"/>
          <c:h val="0.6212280540264703"/>
        </c:manualLayout>
      </c:layout>
      <c:pieChart>
        <c:varyColors val="1"/>
        <c:ser>
          <c:idx val="0"/>
          <c:order val="0"/>
          <c:tx>
            <c:strRef>
              <c:f>'Toss Decision'!$B$3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E7-4DCE-A337-0FDDF209CF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E7-4DCE-A337-0FDDF209CFF8}"/>
              </c:ext>
            </c:extLst>
          </c:dPt>
          <c:cat>
            <c:strRef>
              <c:f>'Toss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Decision'!$B$4:$B$6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E7-4DCE-A337-0FDDF209C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PROJECT.xlsx]Matches per Venue!PivotTable1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per Venue</a:t>
            </a:r>
          </a:p>
        </c:rich>
      </c:tx>
      <c:layout>
        <c:manualLayout>
          <c:xMode val="edge"/>
          <c:yMode val="edge"/>
          <c:x val="0.24626262626262627"/>
          <c:y val="0.11353268930265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267636480080516E-2"/>
          <c:y val="0.24110023557782664"/>
          <c:w val="0.7700920064730471"/>
          <c:h val="0.4375662009745584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'Matches per 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'Matches per Venue'!$A$4:$A$9</c:f>
              <c:strCache>
                <c:ptCount val="5"/>
                <c:pt idx="0">
                  <c:v> Wankhede</c:v>
                </c:pt>
                <c:pt idx="1">
                  <c:v>Chepauk</c:v>
                </c:pt>
                <c:pt idx="2">
                  <c:v>Chinnaswamy</c:v>
                </c:pt>
                <c:pt idx="3">
                  <c:v>Eden Gardens</c:v>
                </c:pt>
                <c:pt idx="4">
                  <c:v>Wankhede</c:v>
                </c:pt>
              </c:strCache>
            </c:strRef>
          </c:cat>
          <c:val>
            <c:numRef>
              <c:f>'Matches per Venue'!$B$4:$B$9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C-410E-A9C9-275BD5F23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1956255"/>
        <c:axId val="1201956735"/>
        <c:axId val="0"/>
      </c:bar3DChart>
      <c:catAx>
        <c:axId val="12019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56735"/>
        <c:crosses val="autoZero"/>
        <c:auto val="1"/>
        <c:lblAlgn val="ctr"/>
        <c:lblOffset val="100"/>
        <c:noMultiLvlLbl val="0"/>
      </c:catAx>
      <c:valAx>
        <c:axId val="120195673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552449</xdr:colOff>
      <xdr:row>5</xdr:row>
      <xdr:rowOff>157161</xdr:rowOff>
    </xdr:from>
    <xdr:to>
      <xdr:col>10</xdr:col>
      <xdr:colOff>47624</xdr:colOff>
      <xdr:row>21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C918B-CA85-44B6-2C56-CF6847214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6</xdr:row>
      <xdr:rowOff>23812</xdr:rowOff>
    </xdr:from>
    <xdr:to>
      <xdr:col>11</xdr:col>
      <xdr:colOff>447675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FD289-9E9F-E77A-1DFA-E078D096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166687</xdr:rowOff>
    </xdr:from>
    <xdr:to>
      <xdr:col>9</xdr:col>
      <xdr:colOff>571500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41D4F-21BA-4FC2-08F7-64A94834C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719137</xdr:colOff>
      <xdr:row>8</xdr:row>
      <xdr:rowOff>180974</xdr:rowOff>
    </xdr:from>
    <xdr:to>
      <xdr:col>7</xdr:col>
      <xdr:colOff>485775</xdr:colOff>
      <xdr:row>21</xdr:row>
      <xdr:rowOff>61911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3FDB-A653-B986-FA62-373809896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5</xdr:col>
      <xdr:colOff>323850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139FA-F00F-4BEF-A67F-D97119145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114301</xdr:rowOff>
    </xdr:from>
    <xdr:to>
      <xdr:col>5</xdr:col>
      <xdr:colOff>276225</xdr:colOff>
      <xdr:row>27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FE0B0-5511-45F8-8448-5B2E953C9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285751</xdr:colOff>
      <xdr:row>14</xdr:row>
      <xdr:rowOff>85726</xdr:rowOff>
    </xdr:from>
    <xdr:to>
      <xdr:col>10</xdr:col>
      <xdr:colOff>590551</xdr:colOff>
      <xdr:row>27</xdr:row>
      <xdr:rowOff>161926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48BA4F-95DB-441A-A050-1FF62FE71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285750</xdr:colOff>
      <xdr:row>1</xdr:row>
      <xdr:rowOff>104775</xdr:rowOff>
    </xdr:from>
    <xdr:to>
      <xdr:col>10</xdr:col>
      <xdr:colOff>581025</xdr:colOff>
      <xdr:row>14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3AA714-B984-4585-8DE4-2BB90253A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034013425924" createdVersion="8" refreshedVersion="8" minRefreshableVersion="3" recordCount="10" xr:uid="{CDBB8368-B7E9-4D52-86CA-FC4D6388FE0B}">
  <cacheSource type="worksheet">
    <worksheetSource name="Table1"/>
  </cacheSource>
  <cacheFields count="10">
    <cacheField name="Match_ID" numFmtId="0">
      <sharedItems containsSemiMixedTypes="0" containsString="0" containsNumber="1" containsInteger="1" minValue="1" maxValue="10"/>
    </cacheField>
    <cacheField name="Date" numFmtId="14">
      <sharedItems containsSemiMixedTypes="0" containsNonDate="0" containsDate="1" containsString="0" minDate="2025-03-22T00:00:00" maxDate="2025-04-01T00:00:00"/>
    </cacheField>
    <cacheField name="Venue" numFmtId="0">
      <sharedItems count="5">
        <s v=" Wankhede"/>
        <s v="Chinnaswamy"/>
        <s v="Eden Gardens"/>
        <s v="Chepauk"/>
        <s v="Wankhede"/>
      </sharedItems>
    </cacheField>
    <cacheField name="Team_1" numFmtId="0">
      <sharedItems/>
    </cacheField>
    <cacheField name="Team_2" numFmtId="0">
      <sharedItems/>
    </cacheField>
    <cacheField name="Toss_Winner" numFmtId="0">
      <sharedItems/>
    </cacheField>
    <cacheField name="Toss_Decision" numFmtId="0">
      <sharedItems count="2">
        <s v="Bat"/>
        <s v="Field"/>
      </sharedItems>
    </cacheField>
    <cacheField name="Winner" numFmtId="0">
      <sharedItems count="6">
        <s v="MI"/>
        <s v="RCB"/>
        <s v="KKR"/>
        <s v="CSK"/>
        <s v="SRH"/>
        <s v="DC"/>
      </sharedItems>
    </cacheField>
    <cacheField name="Runs_Scored" numFmtId="0">
      <sharedItems containsSemiMixedTypes="0" containsString="0" containsNumber="1" containsInteger="1" minValue="160" maxValue="210"/>
    </cacheField>
    <cacheField name="Wickets_Lost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5-03-22T00:00:00"/>
    <x v="0"/>
    <s v="MI"/>
    <s v="CSK"/>
    <s v="MI"/>
    <x v="0"/>
    <x v="0"/>
    <n v="185"/>
    <n v="6"/>
  </r>
  <r>
    <n v="2"/>
    <d v="2025-03-23T00:00:00"/>
    <x v="1"/>
    <s v="RCB"/>
    <s v="KKR"/>
    <s v="KKR"/>
    <x v="1"/>
    <x v="1"/>
    <n v="210"/>
    <n v="4"/>
  </r>
  <r>
    <n v="3"/>
    <d v="2025-03-24T00:00:00"/>
    <x v="2"/>
    <s v="KKR"/>
    <s v="SRH"/>
    <s v="SRH"/>
    <x v="1"/>
    <x v="2"/>
    <n v="178"/>
    <n v="7"/>
  </r>
  <r>
    <n v="4"/>
    <d v="2025-03-25T00:00:00"/>
    <x v="3"/>
    <s v="CSK"/>
    <s v="RCB"/>
    <s v="CSK"/>
    <x v="0"/>
    <x v="3"/>
    <n v="165"/>
    <n v="5"/>
  </r>
  <r>
    <n v="5"/>
    <d v="2025-03-26T00:00:00"/>
    <x v="4"/>
    <s v="MI"/>
    <s v="DC"/>
    <s v="DC"/>
    <x v="1"/>
    <x v="0"/>
    <n v="192"/>
    <n v="5"/>
  </r>
  <r>
    <n v="6"/>
    <d v="2025-03-27T00:00:00"/>
    <x v="1"/>
    <s v="RCB"/>
    <s v="MI"/>
    <s v="RCB"/>
    <x v="0"/>
    <x v="0"/>
    <n v="205"/>
    <n v="6"/>
  </r>
  <r>
    <n v="7"/>
    <d v="2025-03-28T00:00:00"/>
    <x v="2"/>
    <s v="KKR"/>
    <s v="CSK"/>
    <s v="CSK"/>
    <x v="1"/>
    <x v="3"/>
    <n v="175"/>
    <n v="8"/>
  </r>
  <r>
    <n v="8"/>
    <d v="2025-03-29T00:00:00"/>
    <x v="3"/>
    <s v="CSK"/>
    <s v="SRH"/>
    <s v="SRH"/>
    <x v="1"/>
    <x v="4"/>
    <n v="160"/>
    <n v="6"/>
  </r>
  <r>
    <n v="9"/>
    <d v="2025-03-30T00:00:00"/>
    <x v="4"/>
    <s v="MI"/>
    <s v="RCB"/>
    <s v="MI"/>
    <x v="0"/>
    <x v="1"/>
    <n v="198"/>
    <n v="5"/>
  </r>
  <r>
    <n v="10"/>
    <d v="2025-03-31T00:00:00"/>
    <x v="1"/>
    <s v="RCB"/>
    <s v="DC"/>
    <s v="DC"/>
    <x v="1"/>
    <x v="5"/>
    <n v="188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603D3-5A6C-4155-9A6A-AD1BF66058C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0">
    <pivotField dataField="1" showAll="0"/>
    <pivotField numFmtId="14"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atch_ID" fld="0" subtotal="count" baseField="2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DE927-0699-4950-B9BA-3B4F33B63CD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0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2"/>
        <item x="0"/>
        <item x="1"/>
        <item x="4"/>
        <item t="default"/>
      </items>
    </pivotField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atch_ID" fld="0" subtotal="count" baseField="7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E4F29-101A-4176-989D-29B99B34B3BB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0">
    <pivotField showAll="0"/>
    <pivotField numFmtId="14"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uns_Scored" fld="8" subtotal="average" baseField="2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A4F29-0A79-44B8-B045-DED9C54D722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Winner" fld="7" subtotal="count" baseField="6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42773-CF43-456A-8C1F-05BB6948BB6F}" name="Table1" displayName="Table1" ref="A1:J11" totalsRowShown="0">
  <autoFilter ref="A1:J11" xr:uid="{34842773-CF43-456A-8C1F-05BB6948BB6F}"/>
  <tableColumns count="10">
    <tableColumn id="1" xr3:uid="{2015441A-5EFB-4FB2-AD14-96110D4162E8}" name="Match_ID"/>
    <tableColumn id="2" xr3:uid="{A35BCF7E-5434-4F6D-A953-A8EB9089E82C}" name="Date" dataDxfId="0"/>
    <tableColumn id="3" xr3:uid="{36749140-9AB0-403A-90AB-7C64B677F3CA}" name="Venue"/>
    <tableColumn id="4" xr3:uid="{0C061127-ADA3-4A37-81A5-9FF574CD1793}" name="Team_1"/>
    <tableColumn id="5" xr3:uid="{1C7B65E1-36FA-40DB-8CFF-BE54358C130D}" name="Team_2"/>
    <tableColumn id="6" xr3:uid="{CBEC3FBE-411F-4B14-8C7A-B9CE7B0E11E2}" name="Toss_Winner"/>
    <tableColumn id="7" xr3:uid="{F0F39D17-E4C7-4D36-9974-8A4CAB10FD72}" name="Toss_Decision"/>
    <tableColumn id="8" xr3:uid="{A127AC69-893E-4AFD-BAB8-81DC6C08A051}" name="Winner"/>
    <tableColumn id="9" xr3:uid="{3F483C6E-ED93-4D5B-959F-C706D45520BE}" name="Runs_Scored"/>
    <tableColumn id="10" xr3:uid="{14484C8D-08B7-4F0A-B368-2AA368C28B75}" name="Wickets_Los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15CC-E5EA-473B-9F77-4F195B38BB4D}">
  <dimension ref="A3:B9"/>
  <sheetViews>
    <sheetView workbookViewId="0">
      <selection activeCell="K13" sqref="K13"/>
    </sheetView>
  </sheetViews>
  <sheetFormatPr defaultRowHeight="15" x14ac:dyDescent="0.25"/>
  <cols>
    <col min="1" max="1" width="13.42578125" bestFit="1" customWidth="1"/>
    <col min="2" max="2" width="17.7109375" bestFit="1" customWidth="1"/>
  </cols>
  <sheetData>
    <row r="3" spans="1:2" x14ac:dyDescent="0.25">
      <c r="A3" s="2" t="s">
        <v>23</v>
      </c>
      <c r="B3" t="s">
        <v>27</v>
      </c>
    </row>
    <row r="4" spans="1:2" x14ac:dyDescent="0.25">
      <c r="A4" s="3" t="s">
        <v>10</v>
      </c>
      <c r="B4" s="4">
        <v>1</v>
      </c>
    </row>
    <row r="5" spans="1:2" x14ac:dyDescent="0.25">
      <c r="A5" s="3" t="s">
        <v>13</v>
      </c>
      <c r="B5" s="4">
        <v>2</v>
      </c>
    </row>
    <row r="6" spans="1:2" x14ac:dyDescent="0.25">
      <c r="A6" s="3" t="s">
        <v>11</v>
      </c>
      <c r="B6" s="4">
        <v>3</v>
      </c>
    </row>
    <row r="7" spans="1:2" x14ac:dyDescent="0.25">
      <c r="A7" s="3" t="s">
        <v>12</v>
      </c>
      <c r="B7" s="4">
        <v>2</v>
      </c>
    </row>
    <row r="8" spans="1:2" x14ac:dyDescent="0.25">
      <c r="A8" s="3" t="s">
        <v>14</v>
      </c>
      <c r="B8" s="4">
        <v>2</v>
      </c>
    </row>
    <row r="9" spans="1:2" x14ac:dyDescent="0.25">
      <c r="A9" s="3" t="s">
        <v>24</v>
      </c>
      <c r="B9" s="4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CE48-20C5-40DD-B9B1-C34799C3CA4B}">
  <dimension ref="A3:B10"/>
  <sheetViews>
    <sheetView workbookViewId="0">
      <selection activeCell="H5" sqref="H5"/>
    </sheetView>
  </sheetViews>
  <sheetFormatPr defaultRowHeight="15" x14ac:dyDescent="0.25"/>
  <cols>
    <col min="1" max="1" width="13.140625" bestFit="1" customWidth="1"/>
    <col min="2" max="2" width="17.7109375" bestFit="1" customWidth="1"/>
  </cols>
  <sheetData>
    <row r="3" spans="1:2" x14ac:dyDescent="0.25">
      <c r="A3" s="2" t="s">
        <v>23</v>
      </c>
      <c r="B3" t="s">
        <v>27</v>
      </c>
    </row>
    <row r="4" spans="1:2" x14ac:dyDescent="0.25">
      <c r="A4" s="3" t="s">
        <v>18</v>
      </c>
      <c r="B4" s="4">
        <v>2</v>
      </c>
    </row>
    <row r="5" spans="1:2" x14ac:dyDescent="0.25">
      <c r="A5" s="3" t="s">
        <v>20</v>
      </c>
      <c r="B5" s="4">
        <v>1</v>
      </c>
    </row>
    <row r="6" spans="1:2" x14ac:dyDescent="0.25">
      <c r="A6" s="3" t="s">
        <v>17</v>
      </c>
      <c r="B6" s="4">
        <v>1</v>
      </c>
    </row>
    <row r="7" spans="1:2" x14ac:dyDescent="0.25">
      <c r="A7" s="3" t="s">
        <v>15</v>
      </c>
      <c r="B7" s="4">
        <v>3</v>
      </c>
    </row>
    <row r="8" spans="1:2" x14ac:dyDescent="0.25">
      <c r="A8" s="3" t="s">
        <v>16</v>
      </c>
      <c r="B8" s="4">
        <v>2</v>
      </c>
    </row>
    <row r="9" spans="1:2" x14ac:dyDescent="0.25">
      <c r="A9" s="3" t="s">
        <v>19</v>
      </c>
      <c r="B9" s="4">
        <v>1</v>
      </c>
    </row>
    <row r="10" spans="1:2" x14ac:dyDescent="0.25">
      <c r="A10" s="3" t="s">
        <v>24</v>
      </c>
      <c r="B10" s="4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ED63-589A-4EEB-B883-206F07BFDF49}">
  <dimension ref="A3:B9"/>
  <sheetViews>
    <sheetView workbookViewId="0">
      <selection activeCell="C18" sqref="C18"/>
    </sheetView>
  </sheetViews>
  <sheetFormatPr defaultRowHeight="15" x14ac:dyDescent="0.25"/>
  <cols>
    <col min="1" max="1" width="13.42578125" bestFit="1" customWidth="1"/>
    <col min="2" max="2" width="22.7109375" bestFit="1" customWidth="1"/>
  </cols>
  <sheetData>
    <row r="3" spans="1:2" x14ac:dyDescent="0.25">
      <c r="A3" s="2" t="s">
        <v>23</v>
      </c>
      <c r="B3" t="s">
        <v>26</v>
      </c>
    </row>
    <row r="4" spans="1:2" x14ac:dyDescent="0.25">
      <c r="A4" s="3" t="s">
        <v>10</v>
      </c>
      <c r="B4" s="4">
        <v>185</v>
      </c>
    </row>
    <row r="5" spans="1:2" x14ac:dyDescent="0.25">
      <c r="A5" s="3" t="s">
        <v>13</v>
      </c>
      <c r="B5" s="4">
        <v>162.5</v>
      </c>
    </row>
    <row r="6" spans="1:2" x14ac:dyDescent="0.25">
      <c r="A6" s="3" t="s">
        <v>11</v>
      </c>
      <c r="B6" s="4">
        <v>201</v>
      </c>
    </row>
    <row r="7" spans="1:2" x14ac:dyDescent="0.25">
      <c r="A7" s="3" t="s">
        <v>12</v>
      </c>
      <c r="B7" s="4">
        <v>176.5</v>
      </c>
    </row>
    <row r="8" spans="1:2" x14ac:dyDescent="0.25">
      <c r="A8" s="3" t="s">
        <v>14</v>
      </c>
      <c r="B8" s="4">
        <v>195</v>
      </c>
    </row>
    <row r="9" spans="1:2" x14ac:dyDescent="0.25">
      <c r="A9" s="3" t="s">
        <v>24</v>
      </c>
      <c r="B9" s="4">
        <v>185.6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CFD-B5B6-4258-9ACE-E76C4621C034}">
  <dimension ref="A3:B6"/>
  <sheetViews>
    <sheetView workbookViewId="0">
      <selection activeCell="E6" sqref="E6"/>
    </sheetView>
  </sheetViews>
  <sheetFormatPr defaultRowHeight="15" x14ac:dyDescent="0.25"/>
  <cols>
    <col min="1" max="1" width="13.140625" bestFit="1" customWidth="1"/>
    <col min="2" max="2" width="15.85546875" bestFit="1" customWidth="1"/>
  </cols>
  <sheetData>
    <row r="3" spans="1:2" x14ac:dyDescent="0.25">
      <c r="A3" s="2" t="s">
        <v>23</v>
      </c>
      <c r="B3" t="s">
        <v>25</v>
      </c>
    </row>
    <row r="4" spans="1:2" x14ac:dyDescent="0.25">
      <c r="A4" s="3" t="s">
        <v>21</v>
      </c>
      <c r="B4" s="4">
        <v>4</v>
      </c>
    </row>
    <row r="5" spans="1:2" x14ac:dyDescent="0.25">
      <c r="A5" s="3" t="s">
        <v>22</v>
      </c>
      <c r="B5" s="4">
        <v>6</v>
      </c>
    </row>
    <row r="6" spans="1:2" x14ac:dyDescent="0.25">
      <c r="A6" s="3" t="s">
        <v>24</v>
      </c>
      <c r="B6" s="4">
        <v>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FC05-9562-470F-826B-AFD05CFB5ECF}">
  <dimension ref="A1:J11"/>
  <sheetViews>
    <sheetView workbookViewId="0">
      <selection activeCell="D9" sqref="D9"/>
    </sheetView>
  </sheetViews>
  <sheetFormatPr defaultRowHeight="15" x14ac:dyDescent="0.25"/>
  <cols>
    <col min="1" max="1" width="11.5703125" customWidth="1"/>
    <col min="2" max="2" width="10.42578125" bestFit="1" customWidth="1"/>
    <col min="3" max="3" width="13.42578125" bestFit="1" customWidth="1"/>
    <col min="4" max="5" width="10" customWidth="1"/>
    <col min="6" max="6" width="14.7109375" customWidth="1"/>
    <col min="7" max="7" width="15.5703125" customWidth="1"/>
    <col min="8" max="8" width="9.85546875" customWidth="1"/>
    <col min="9" max="9" width="14.42578125" customWidth="1"/>
    <col min="10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45738</v>
      </c>
      <c r="C2" t="s">
        <v>10</v>
      </c>
      <c r="D2" t="s">
        <v>15</v>
      </c>
      <c r="E2" t="s">
        <v>18</v>
      </c>
      <c r="F2" t="s">
        <v>15</v>
      </c>
      <c r="G2" t="s">
        <v>21</v>
      </c>
      <c r="H2" t="s">
        <v>15</v>
      </c>
      <c r="I2">
        <v>185</v>
      </c>
      <c r="J2">
        <v>6</v>
      </c>
    </row>
    <row r="3" spans="1:10" x14ac:dyDescent="0.25">
      <c r="A3">
        <v>2</v>
      </c>
      <c r="B3" s="1">
        <v>45739</v>
      </c>
      <c r="C3" t="s">
        <v>11</v>
      </c>
      <c r="D3" t="s">
        <v>16</v>
      </c>
      <c r="E3" t="s">
        <v>17</v>
      </c>
      <c r="F3" t="s">
        <v>17</v>
      </c>
      <c r="G3" t="s">
        <v>22</v>
      </c>
      <c r="H3" t="s">
        <v>16</v>
      </c>
      <c r="I3">
        <v>210</v>
      </c>
      <c r="J3">
        <v>4</v>
      </c>
    </row>
    <row r="4" spans="1:10" x14ac:dyDescent="0.25">
      <c r="A4">
        <v>3</v>
      </c>
      <c r="B4" s="1">
        <v>45740</v>
      </c>
      <c r="C4" t="s">
        <v>12</v>
      </c>
      <c r="D4" t="s">
        <v>17</v>
      </c>
      <c r="E4" t="s">
        <v>19</v>
      </c>
      <c r="F4" t="s">
        <v>19</v>
      </c>
      <c r="G4" t="s">
        <v>22</v>
      </c>
      <c r="H4" t="s">
        <v>17</v>
      </c>
      <c r="I4">
        <v>178</v>
      </c>
      <c r="J4">
        <v>7</v>
      </c>
    </row>
    <row r="5" spans="1:10" x14ac:dyDescent="0.25">
      <c r="A5">
        <v>4</v>
      </c>
      <c r="B5" s="1">
        <v>45741</v>
      </c>
      <c r="C5" t="s">
        <v>13</v>
      </c>
      <c r="D5" t="s">
        <v>18</v>
      </c>
      <c r="E5" t="s">
        <v>16</v>
      </c>
      <c r="F5" t="s">
        <v>18</v>
      </c>
      <c r="G5" t="s">
        <v>21</v>
      </c>
      <c r="H5" t="s">
        <v>18</v>
      </c>
      <c r="I5">
        <v>165</v>
      </c>
      <c r="J5">
        <v>5</v>
      </c>
    </row>
    <row r="6" spans="1:10" x14ac:dyDescent="0.25">
      <c r="A6">
        <v>5</v>
      </c>
      <c r="B6" s="1">
        <v>45742</v>
      </c>
      <c r="C6" t="s">
        <v>14</v>
      </c>
      <c r="D6" t="s">
        <v>15</v>
      </c>
      <c r="E6" t="s">
        <v>20</v>
      </c>
      <c r="F6" t="s">
        <v>20</v>
      </c>
      <c r="G6" t="s">
        <v>22</v>
      </c>
      <c r="H6" t="s">
        <v>15</v>
      </c>
      <c r="I6">
        <v>192</v>
      </c>
      <c r="J6">
        <v>5</v>
      </c>
    </row>
    <row r="7" spans="1:10" x14ac:dyDescent="0.25">
      <c r="A7">
        <v>6</v>
      </c>
      <c r="B7" s="1">
        <v>45743</v>
      </c>
      <c r="C7" t="s">
        <v>11</v>
      </c>
      <c r="D7" t="s">
        <v>16</v>
      </c>
      <c r="E7" t="s">
        <v>15</v>
      </c>
      <c r="F7" t="s">
        <v>16</v>
      </c>
      <c r="G7" t="s">
        <v>21</v>
      </c>
      <c r="H7" t="s">
        <v>15</v>
      </c>
      <c r="I7">
        <v>205</v>
      </c>
      <c r="J7">
        <v>6</v>
      </c>
    </row>
    <row r="8" spans="1:10" x14ac:dyDescent="0.25">
      <c r="A8">
        <v>7</v>
      </c>
      <c r="B8" s="1">
        <v>45744</v>
      </c>
      <c r="C8" t="s">
        <v>12</v>
      </c>
      <c r="D8" t="s">
        <v>17</v>
      </c>
      <c r="E8" t="s">
        <v>18</v>
      </c>
      <c r="F8" t="s">
        <v>18</v>
      </c>
      <c r="G8" t="s">
        <v>22</v>
      </c>
      <c r="H8" t="s">
        <v>18</v>
      </c>
      <c r="I8">
        <v>175</v>
      </c>
      <c r="J8">
        <v>8</v>
      </c>
    </row>
    <row r="9" spans="1:10" x14ac:dyDescent="0.25">
      <c r="A9">
        <v>8</v>
      </c>
      <c r="B9" s="1">
        <v>45745</v>
      </c>
      <c r="C9" t="s">
        <v>13</v>
      </c>
      <c r="D9" t="s">
        <v>18</v>
      </c>
      <c r="E9" t="s">
        <v>19</v>
      </c>
      <c r="F9" t="s">
        <v>19</v>
      </c>
      <c r="G9" t="s">
        <v>22</v>
      </c>
      <c r="H9" t="s">
        <v>19</v>
      </c>
      <c r="I9">
        <v>160</v>
      </c>
      <c r="J9">
        <v>6</v>
      </c>
    </row>
    <row r="10" spans="1:10" x14ac:dyDescent="0.25">
      <c r="A10">
        <v>9</v>
      </c>
      <c r="B10" s="1">
        <v>45746</v>
      </c>
      <c r="C10" t="s">
        <v>14</v>
      </c>
      <c r="D10" t="s">
        <v>15</v>
      </c>
      <c r="E10" t="s">
        <v>16</v>
      </c>
      <c r="F10" t="s">
        <v>15</v>
      </c>
      <c r="G10" t="s">
        <v>21</v>
      </c>
      <c r="H10" t="s">
        <v>16</v>
      </c>
      <c r="I10">
        <v>198</v>
      </c>
      <c r="J10">
        <v>5</v>
      </c>
    </row>
    <row r="11" spans="1:10" x14ac:dyDescent="0.25">
      <c r="A11">
        <v>10</v>
      </c>
      <c r="B11" s="1">
        <v>45747</v>
      </c>
      <c r="C11" t="s">
        <v>11</v>
      </c>
      <c r="D11" t="s">
        <v>16</v>
      </c>
      <c r="E11" t="s">
        <v>20</v>
      </c>
      <c r="F11" t="s">
        <v>20</v>
      </c>
      <c r="G11" t="s">
        <v>22</v>
      </c>
      <c r="H11" t="s">
        <v>20</v>
      </c>
      <c r="I11">
        <v>188</v>
      </c>
      <c r="J11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9DD6-6B27-4808-8F00-0C22ECC7079B}">
  <dimension ref="A1:G1"/>
  <sheetViews>
    <sheetView showGridLines="0" tabSelected="1" zoomScaleNormal="100" workbookViewId="0">
      <selection activeCell="N16" sqref="N16"/>
    </sheetView>
  </sheetViews>
  <sheetFormatPr defaultRowHeight="15" x14ac:dyDescent="0.25"/>
  <sheetData>
    <row r="1" spans="1:7" ht="23.25" x14ac:dyDescent="0.35">
      <c r="A1" s="5" t="s">
        <v>28</v>
      </c>
      <c r="B1" s="5"/>
      <c r="C1" s="5"/>
      <c r="D1" s="5"/>
      <c r="E1" s="5"/>
      <c r="F1" s="5"/>
      <c r="G1" s="5"/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Matches per Venue</vt:lpstr>
      <vt:lpstr>Wins per Team</vt:lpstr>
      <vt:lpstr>Avg Runs per Venue</vt:lpstr>
      <vt:lpstr>Toss Decision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2026-03-02T19:07:17Z</dcterms:created>
  <dcterms:modified xsi:type="dcterms:W3CDTF">2026-03-02T19:59:46Z</dcterms:modified>
</cp:coreProperties>
</file>